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rishikeshpillai/Documents/VScode/Excels &amp; HTML Files/"/>
    </mc:Choice>
  </mc:AlternateContent>
  <xr:revisionPtr revIDLastSave="0" documentId="13_ncr:1_{CE7E05EE-6E6B-4741-84CB-5CAD36D7F47A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Master Comparison" sheetId="1" r:id="rId1"/>
    <sheet name="Daily Miles Breakdown" sheetId="2" r:id="rId2"/>
    <sheet name="Route &amp; Resource Detail" sheetId="3" r:id="rId3"/>
    <sheet name="Algorithm Guide" sheetId="4" r:id="rId4"/>
    <sheet name="Charts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<sst xmlns="http://schemas.openxmlformats.org/spreadsheetml/2006/main" count="252" uniqueCount="115">
  <si>
    <t>NHG Vehicle Routing — Master Method Comparison (All 5 Solutions)</t>
  </si>
  <si>
    <t>Wilmington DC → 123 Stores, 261 Weekly Orders  |  Van capacity: 3,200 ft³  |  DOT: 11h drive / 14h duty / 10h break</t>
  </si>
  <si>
    <t>Metric</t>
  </si>
  <si>
    <t>Q1 NN
Nearest-Neighbor + 2-Opt
(No overnight, Van only)</t>
  </si>
  <si>
    <t>Q1 CW
Clark-Wright + 2-Opt
(No overnight, Van only)</t>
  </si>
  <si>
    <t>Q1 CW+ON
Clark-Wright + 2-Opt
+ Overnight merging, Van only</t>
  </si>
  <si>
    <t>Q2 Hetero
CW + NN + 2-Opt + Overnight
Heterogeneous (Van+ST)</t>
  </si>
  <si>
    <t>Q3 Relaxed
Angular Sweep + CW + 2-Opt
+ Overnight, Relaxed days</t>
  </si>
  <si>
    <t>Best
Method</t>
  </si>
  <si>
    <t>Notes</t>
  </si>
  <si>
    <t>① OVERALL RESULTS</t>
  </si>
  <si>
    <t>Total Routes</t>
  </si>
  <si>
    <t>Q3 Relaxed</t>
  </si>
  <si>
    <t>Fewest routes = fewer driver dispatches</t>
  </si>
  <si>
    <t>Weekly Miles (total)</t>
  </si>
  <si>
    <t>Lower = better; Q3 saves 28% vs best prior</t>
  </si>
  <si>
    <t>Annual Miles (×52)</t>
  </si>
  <si>
    <t>Orders Covered</t>
  </si>
  <si>
    <t>261/261</t>
  </si>
  <si>
    <t>Q1 NN</t>
  </si>
  <si>
    <t>All methods fully cover all 261 orders</t>
  </si>
  <si>
    <t>Overnight Routes</t>
  </si>
  <si>
    <t>—</t>
  </si>
  <si>
    <t>Overnight merging reduces total distance</t>
  </si>
  <si>
    <t>Miles Saved by Overnight</t>
  </si>
  <si>
    <t>Q1 CW+ON</t>
  </si>
  <si>
    <t>Q1 CW+ON saves most per overnight route</t>
  </si>
  <si>
    <t>Min Vehicles Required</t>
  </si>
  <si>
    <t>Q2 needs extra vehicle for ST fleet</t>
  </si>
  <si>
    <t>Min Drivers Required</t>
  </si>
  <si>
    <t>② ALGORITHM &amp; SETTINGS</t>
  </si>
  <si>
    <t>Fleet Type</t>
  </si>
  <si>
    <t>Van</t>
  </si>
  <si>
    <t>Van+ST</t>
  </si>
  <si>
    <t>Q2 only: 60 orders require Straight Truck</t>
  </si>
  <si>
    <t>Delivery Day Schedule</t>
  </si>
  <si>
    <t>Fixed</t>
  </si>
  <si>
    <t>Relaxed</t>
  </si>
  <si>
    <t>Q3 reassigns via angular sweep clustering</t>
  </si>
  <si>
    <t>Construction Heuristic</t>
  </si>
  <si>
    <t>NN</t>
  </si>
  <si>
    <t>CW</t>
  </si>
  <si>
    <t>Q1 CW</t>
  </si>
  <si>
    <t>CW consistently outperforms NN</t>
  </si>
  <si>
    <t>2-Opt Improvement</t>
  </si>
  <si>
    <t>Yes</t>
  </si>
  <si>
    <t>Applied per-route in all methods</t>
  </si>
  <si>
    <t>Overnight Merging</t>
  </si>
  <si>
    <t>No</t>
  </si>
  <si>
    <t>Day Reassignment</t>
  </si>
  <si>
    <t>Angular sweep groups geographically close stores</t>
  </si>
  <si>
    <t>DOT Compliance</t>
  </si>
  <si>
    <t>All routes feasible in all methods</t>
  </si>
  <si>
    <t>③ WEEKLY MILES BY DAY</t>
  </si>
  <si>
    <t>Mon</t>
  </si>
  <si>
    <t>Tue</t>
  </si>
  <si>
    <t>Wed</t>
  </si>
  <si>
    <t>Thu</t>
  </si>
  <si>
    <t>Fri</t>
  </si>
  <si>
    <t>Total</t>
  </si>
  <si>
    <t>④ NUMBER OF ROUTES BY DAY</t>
  </si>
  <si>
    <t>⑤ SAVINGS vs Q1 NN BASELINE (9,538 mi/week)</t>
  </si>
  <si>
    <t>Miles Saved vs Q1 NN</t>
  </si>
  <si>
    <t>% Reduction vs Q1 NN</t>
  </si>
  <si>
    <t>Annual Miles Saved (×52)</t>
  </si>
  <si>
    <t>Weekly Miles by Day &amp; Method — Detailed Breakdown</t>
  </si>
  <si>
    <t>Day</t>
  </si>
  <si>
    <t>Q2 Hetero</t>
  </si>
  <si>
    <t>Best Method</t>
  </si>
  <si>
    <t>% Reduction in Miles vs Q1 NN Baseline</t>
  </si>
  <si>
    <t>Route Count &amp; Resource Requirements — All Methods</t>
  </si>
  <si>
    <t>Best</t>
  </si>
  <si>
    <t>Fewest routes reduces fleet admin burden</t>
  </si>
  <si>
    <t>Van Routes</t>
  </si>
  <si>
    <t>Q2 shifts 10 orders to ST; Q1CW+ON fewest van routes</t>
  </si>
  <si>
    <t>Straight Truck Routes</t>
  </si>
  <si>
    <t>N/A</t>
  </si>
  <si>
    <t>Q2 only — 60 orders require ST</t>
  </si>
  <si>
    <t>Overnight merging spans consecutive days</t>
  </si>
  <si>
    <t>Orders per Route (avg)</t>
  </si>
  <si>
    <t>Higher = denser, more efficient routes</t>
  </si>
  <si>
    <t>Miles per Route (avg)</t>
  </si>
  <si>
    <t>Lower = shorter average trip</t>
  </si>
  <si>
    <t>Peak concurrent active routes</t>
  </si>
  <si>
    <t>Accounting for DOT 10-hr break between shifts</t>
  </si>
  <si>
    <t>Weekly Miles</t>
  </si>
  <si>
    <t>Annual Miles Saved vs Q1 NN</t>
  </si>
  <si>
    <t>vs 495,976 baseline</t>
  </si>
  <si>
    <t>Algorithm Decision Guide — When to Use Each Method</t>
  </si>
  <si>
    <t>Method</t>
  </si>
  <si>
    <t>Strengths</t>
  </si>
  <si>
    <t>Weaknesses</t>
  </si>
  <si>
    <t>Best Use Case / Recommendation</t>
  </si>
  <si>
    <t>Q1 NN
(Nearest-Neighbor
+ 2-Opt)</t>
  </si>
  <si>
    <t>• Fast to compute
• Intuitive logic
• Always feasible
• Good baseline</t>
  </si>
  <si>
    <t>• Greedy; misses global savings
• 17% more miles than CW
• No overnight merging
• Fixed delivery days</t>
  </si>
  <si>
    <t>Use as a quick baseline or when implementation simplicity is paramount. Not recommended as the primary method — CW consistently outperforms it on this instance.</t>
  </si>
  <si>
    <t>Q1 CW
(Clark-Wright
+ 2-Opt)</t>
  </si>
  <si>
    <t>• Better than NN on all days
• Saves ~1,634 mi/wk vs NN
• Simple single-vehicle fleet
• Good DOT compliance</t>
  </si>
  <si>
    <t>• No overnight merging
• Fixed delivery days
• Higher miles than CW+ON
• Van-only limits capacity mix</t>
  </si>
  <si>
    <t>Recommended when: overnight operations are not feasible, fixed delivery schedule required, and fleet is homogeneous. A solid default for Q1.</t>
  </si>
  <si>
    <t>Q1 CW+ON
(CW + 2-Opt
+ Overnight)</t>
  </si>
  <si>
    <t>• Best single-day savings vs ON
• 173 mi/wk saved by overnight
• Reduces route count to 28
• Same vehicles/drivers as CW</t>
  </si>
  <si>
    <t>• Overnight routes need sleeper cabs
• More complex scheduling
• Fixed delivery days
• Van-only</t>
  </si>
  <si>
    <t>Recommended over plain CW when: overnight operations are acceptable and sleeper cabs available. The best Van-only fixed-schedule solution on this instance.</t>
  </si>
  <si>
    <t>Q2 Hetero
(Van + ST, CW
+ Overnight)</t>
  </si>
  <si>
    <t>• Handles ST-required orders
• Full regulatory compliance
• Overnight merging included
• Mixed fleet flexibility</t>
  </si>
  <si>
    <t>• More miles than Q1 CW+ON
• Needs both Van and ST fleets
• More complex dispatch
• Fixed delivery days</t>
  </si>
  <si>
    <t>Use when: 60 specific orders REQUIRE a Straight Truck. Not purely a cost-minimization choice — it is operationally mandatory for those orders. Adds 914 mi/wk vs Q1 CW+ON.</t>
  </si>
  <si>
    <t>Q3 Relaxed
(Angular Sweep
+ CW + Overnight)</t>
  </si>
  <si>
    <t>• Best overall: fewest routes (27)
• Lowest miles (5,538/wk)
• 28% reduction vs Q1 CW+ON
• Geographically clustered days
• Saves $211K+ annual miles</t>
  </si>
  <si>
    <t>• Changes delivery days for stores
• Requires NHG schedule renegotiation
• Angular sweep is heuristic
• Overnight still needed for full savings</t>
  </si>
  <si>
    <t>RECOMMENDED if NHG can relax the fixed delivery schedule. The geographic clustering dramatically reduces inter-zone crossings. Saves 2,193 mi/wk and 113,964 annual miles vs next best (Q1 CW+ON). Present this as the primary recommendation with Q1 CW+ON as the fallback.</t>
  </si>
  <si>
    <t>Chart Data — Weekly Miles by Day &amp; Method</t>
  </si>
  <si>
    <t>Total Weekly Miles per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</si>
</sst>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+#,##0;\-#,##0;0"/>
    <numFmt numFmtId="165" formatCode="0.0%"/>
    <numFmt numFmtId="166" formatCode="#,##0.0"/>
  </numFmts>
  <fonts count="1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b/>
      <sz val="9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1E5631"/>
      <name val="Arial"/>
      <charset val="1"/>
    </font>
    <font>
      <b/>
      <sz val="9"/>
      <color rgb="FF1E5631"/>
      <name val="Arial"/>
      <charset val="1"/>
    </font>
    <font>
      <sz val="9"/>
      <color rgb="FF000000"/>
      <name val="Arial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sz val="9"/>
      <color rgb="FF666666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F81BD"/>
      </patternFill>
    </fill>
    <fill>
      <patternFill patternType="solid">
        <fgColor rgb="FFFDEBD0"/>
        <bgColor rgb="FFF4ECF7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E2EFDA"/>
      </patternFill>
    </fill>
    <fill>
      <patternFill patternType="solid">
        <fgColor rgb="FFF4ECF7"/>
        <bgColor rgb="FFF2F2F2"/>
      </patternFill>
    </fill>
    <fill>
      <patternFill patternType="solid">
        <fgColor rgb="FFF2F2F2"/>
        <bgColor rgb="FFF4ECF7"/>
      </patternFill>
    </fill>
    <fill>
      <patternFill patternType="solid">
        <fgColor rgb="FFE2EFDA"/>
        <bgColor rgb="FFD5F5E3"/>
      </patternFill>
    </fill>
    <fill>
      <patternFill patternType="solid">
        <fgColor rgb="FFFFFFFF"/>
        <bgColor rgb="FFF9F9F9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1" fillId="3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3" fontId="6" fillId="4" borderId="1" xfId="0" applyNumberFormat="1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center" vertical="center"/>
    </xf>
    <xf numFmtId="3" fontId="6" fillId="6" borderId="1" xfId="0" applyNumberFormat="1" applyFont="1" applyFill="1" applyBorder="1" applyAlignment="1">
      <alignment horizontal="center" vertical="center"/>
    </xf>
    <xf numFmtId="3" fontId="6" fillId="7" borderId="1" xfId="0" applyNumberFormat="1" applyFont="1" applyFill="1" applyBorder="1" applyAlignment="1">
      <alignment horizontal="center" vertical="center"/>
    </xf>
    <xf numFmtId="3" fontId="7" fillId="9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vertical="center"/>
    </xf>
    <xf numFmtId="1" fontId="7" fillId="9" borderId="1" xfId="0" applyNumberFormat="1" applyFont="1" applyFill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164" fontId="7" fillId="9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center" vertical="center"/>
    </xf>
    <xf numFmtId="165" fontId="7" fillId="9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166" fontId="6" fillId="4" borderId="1" xfId="0" applyNumberFormat="1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166" fontId="6" fillId="6" borderId="1" xfId="0" applyNumberFormat="1" applyFont="1" applyFill="1" applyBorder="1" applyAlignment="1">
      <alignment horizontal="center" vertical="center"/>
    </xf>
    <xf numFmtId="166" fontId="6" fillId="7" borderId="1" xfId="0" applyNumberFormat="1" applyFont="1" applyFill="1" applyBorder="1" applyAlignment="1">
      <alignment horizontal="center" vertical="center"/>
    </xf>
    <xf numFmtId="166" fontId="7" fillId="9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0" borderId="1" xfId="0" applyFont="1" applyBorder="1"/>
    <xf numFmtId="3" fontId="14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BBBBB"/>
      <rgbColor rgb="FF878787"/>
      <rgbColor rgb="FF9999FF"/>
      <rgbColor rgb="FFC0504D"/>
      <rgbColor rgb="FFFDEBD0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5F5E3"/>
      <rgbColor rgb="FFF2F2F2"/>
      <rgbColor rgb="FFF9F9F9"/>
      <rgbColor rgb="FFFF99CC"/>
      <rgbColor rgb="FFCC99FF"/>
      <rgbColor rgb="FFF4ECF7"/>
      <rgbColor rgb="FF2E75B6"/>
      <rgbColor rgb="FF4BACC6"/>
      <rgbColor rgb="FF9BBB59"/>
      <rgbColor rgb="FFFFCC00"/>
      <rgbColor rgb="FFFF9900"/>
      <rgbColor rgb="FFFF6600"/>
      <rgbColor rgb="FF8064A2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1E56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Weekly Miles by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</c:f>
              <c:strCache>
                <c:ptCount val="1"/>
                <c:pt idx="0">
                  <c:v>Q1 NN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Charts!$A$3:$A$7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Charts!$B$3:$B$8</c:f>
              <c:numCache>
                <c:formatCode>#,##0</c:formatCode>
                <c:ptCount val="6"/>
                <c:pt idx="0">
                  <c:v>1886</c:v>
                </c:pt>
                <c:pt idx="1">
                  <c:v>2042</c:v>
                </c:pt>
                <c:pt idx="2">
                  <c:v>1574</c:v>
                </c:pt>
                <c:pt idx="3">
                  <c:v>2100</c:v>
                </c:pt>
                <c:pt idx="4">
                  <c:v>1936</c:v>
                </c:pt>
                <c:pt idx="5">
                  <c:v>9538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B-624C-8F61-6599B72D940E}"/>
            </c:ext>
          </c:extLst>
        </c:ser>
        <c:ser>
          <c:idx val="1"/>
          <c:order val="1"/>
          <c:tx>
            <c:strRef>
              <c:f>Charts!$C$2</c:f>
              <c:strCache>
                <c:ptCount val="1"/>
                <c:pt idx="0">
                  <c:v>Q1 CW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Charts!$A$3:$A$7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Charts!$C$3:$C$8</c:f>
              <c:numCache>
                <c:formatCode>#,##0</c:formatCode>
                <c:ptCount val="6"/>
                <c:pt idx="0">
                  <c:v>1525</c:v>
                </c:pt>
                <c:pt idx="1">
                  <c:v>1943</c:v>
                </c:pt>
                <c:pt idx="2">
                  <c:v>1424</c:v>
                </c:pt>
                <c:pt idx="3">
                  <c:v>1539</c:v>
                </c:pt>
                <c:pt idx="4">
                  <c:v>1473</c:v>
                </c:pt>
                <c:pt idx="5">
                  <c:v>7904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8B-624C-8F61-6599B72D940E}"/>
            </c:ext>
          </c:extLst>
        </c:ser>
        <c:ser>
          <c:idx val="2"/>
          <c:order val="2"/>
          <c:tx>
            <c:strRef>
              <c:f>Charts!$D$2</c:f>
              <c:strCache>
                <c:ptCount val="1"/>
                <c:pt idx="0">
                  <c:v>Q1 CW+ON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Charts!$A$3:$A$7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Charts!$D$3:$D$8</c:f>
              <c:numCache>
                <c:formatCode>#,##0</c:formatCode>
                <c:ptCount val="6"/>
                <c:pt idx="0">
                  <c:v>1688</c:v>
                </c:pt>
                <c:pt idx="1">
                  <c:v>2114</c:v>
                </c:pt>
                <c:pt idx="2">
                  <c:v>1519</c:v>
                </c:pt>
                <c:pt idx="3">
                  <c:v>937</c:v>
                </c:pt>
                <c:pt idx="4">
                  <c:v>1473</c:v>
                </c:pt>
                <c:pt idx="5">
                  <c:v>7731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8B-624C-8F61-6599B72D940E}"/>
            </c:ext>
          </c:extLst>
        </c:ser>
        <c:ser>
          <c:idx val="3"/>
          <c:order val="3"/>
          <c:tx>
            <c:strRef>
              <c:f>Charts!$E$2</c:f>
              <c:strCache>
                <c:ptCount val="1"/>
                <c:pt idx="0">
                  <c:v>Q2 Hetero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Charts!$A$3:$A$7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Charts!$E$3:$E$8</c:f>
              <c:numCache>
                <c:formatCode>#,##0</c:formatCode>
                <c:ptCount val="6"/>
                <c:pt idx="0">
                  <c:v>2144</c:v>
                </c:pt>
                <c:pt idx="1">
                  <c:v>2179</c:v>
                </c:pt>
                <c:pt idx="2">
                  <c:v>1172</c:v>
                </c:pt>
                <c:pt idx="3">
                  <c:v>1838</c:v>
                </c:pt>
                <c:pt idx="4">
                  <c:v>1312</c:v>
                </c:pt>
                <c:pt idx="5">
                  <c:v>8645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8B-624C-8F61-6599B72D940E}"/>
            </c:ext>
          </c:extLst>
        </c:ser>
        <c:ser>
          <c:idx val="4"/>
          <c:order val="4"/>
          <c:tx>
            <c:strRef>
              <c:f>Charts!$F$2</c:f>
              <c:strCache>
                <c:ptCount val="1"/>
                <c:pt idx="0">
                  <c:v>Q3 Relaxed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Charts!$A$3:$A$7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Charts!$F$3:$F$8</c:f>
              <c:numCache>
                <c:formatCode>#,##0</c:formatCode>
                <c:ptCount val="6"/>
                <c:pt idx="0">
                  <c:v>1196</c:v>
                </c:pt>
                <c:pt idx="1">
                  <c:v>1712</c:v>
                </c:pt>
                <c:pt idx="2">
                  <c:v>1055</c:v>
                </c:pt>
                <c:pt idx="3">
                  <c:v>325</c:v>
                </c:pt>
                <c:pt idx="4">
                  <c:v>1250</c:v>
                </c:pt>
                <c:pt idx="5">
                  <c:v>5538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8B-624C-8F61-6599B72D9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430616"/>
        <c:axId val="17749476"/>
      </c:barChart>
      <c:catAx>
        <c:axId val="654306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Method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749476"/>
        <c:crosses val="autoZero"/>
        <c:auto val="1"/>
        <c:lblAlgn val="ctr"/>
        <c:lblOffset val="100"/>
        <c:noMultiLvlLbl val="0"/>
      </c:catAx>
      <c:valAx>
        <c:axId val="177494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Miles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4306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Weekly Miles — All Methods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Charts!$B$29</c:f>
              <c:strCache>
                <c:ptCount val="1"/>
                <c:pt idx="0">
                  <c:v>Q1 NN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Charts!$B$30</c:f>
              <c:numCache>
                <c:formatCode>#,##0</c:formatCode>
                <c:ptCount val="1"/>
                <c:pt idx="0">
                  <c:v>9538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D-2945-ACAC-60AEEF90233F}"/>
            </c:ext>
          </c:extLst>
        </c:ser>
        <c:ser>
          <c:idx val="1"/>
          <c:order val="1"/>
          <c:tx>
            <c:strRef>
              <c:f>Charts!$C$29</c:f>
              <c:strCache>
                <c:ptCount val="1"/>
                <c:pt idx="0">
                  <c:v>Q1 CW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Charts!$C$30</c:f>
              <c:numCache>
                <c:formatCode>#,##0</c:formatCode>
                <c:ptCount val="1"/>
                <c:pt idx="0">
                  <c:v>7904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CD-2945-ACAC-60AEEF90233F}"/>
            </c:ext>
          </c:extLst>
        </c:ser>
        <c:ser>
          <c:idx val="2"/>
          <c:order val="2"/>
          <c:tx>
            <c:strRef>
              <c:f>Charts!$D$29</c:f>
              <c:strCache>
                <c:ptCount val="1"/>
                <c:pt idx="0">
                  <c:v>Q1 CW+ON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Charts!$D$30</c:f>
              <c:numCache>
                <c:formatCode>#,##0</c:formatCode>
                <c:ptCount val="1"/>
                <c:pt idx="0">
                  <c:v>7731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CD-2945-ACAC-60AEEF90233F}"/>
            </c:ext>
          </c:extLst>
        </c:ser>
        <c:ser>
          <c:idx val="3"/>
          <c:order val="3"/>
          <c:tx>
            <c:strRef>
              <c:f>Charts!$E$29</c:f>
              <c:strCache>
                <c:ptCount val="1"/>
                <c:pt idx="0">
                  <c:v>Q2 Hetero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Charts!$E$30</c:f>
              <c:numCache>
                <c:formatCode>#,##0</c:formatCode>
                <c:ptCount val="1"/>
                <c:pt idx="0">
                  <c:v>8645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CD-2945-ACAC-60AEEF90233F}"/>
            </c:ext>
          </c:extLst>
        </c:ser>
        <c:ser>
          <c:idx val="4"/>
          <c:order val="4"/>
          <c:tx>
            <c:strRef>
              <c:f>Charts!$F$29</c:f>
              <c:strCache>
                <c:ptCount val="1"/>
                <c:pt idx="0">
                  <c:v>Q3 Relaxed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Charts!$F$30</c:f>
              <c:numCache>
                <c:formatCode>#,##0</c:formatCode>
                <c:ptCount val="1"/>
                <c:pt idx="0">
                  <c:v>5538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CD-2945-ACAC-60AEEF902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311352"/>
        <c:axId val="32840563"/>
      </c:barChart>
      <c:catAx>
        <c:axId val="463113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Method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840563"/>
        <c:crosses val="autoZero"/>
        <c:auto val="1"/>
        <c:lblAlgn val="ctr"/>
        <c:lblOffset val="100"/>
        <c:noMultiLvlLbl val="0"/>
      </c:catAx>
      <c:valAx>
        <c:axId val="328405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Miles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3113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7</xdr:col>
      <xdr:colOff>558720</xdr:colOff>
      <xdr:row>31</xdr:row>
      <xdr:rowOff>42840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31</xdr:row>
      <xdr:rowOff>0</xdr:rowOff>
    </xdr:from>
    <xdr:to>
      <xdr:col>7</xdr:col>
      <xdr:colOff>558720</xdr:colOff>
      <xdr:row>53</xdr:row>
      <xdr:rowOff>128520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showGridLines="0" tabSelected="1" zoomScale="135" zoomScaleNormal="100" workbookViewId="0">
      <selection activeCell="I27" sqref="I27"/>
    </sheetView>
  </sheetViews>
  <sheetFormatPr baseColWidth="10" defaultColWidth="8.6640625" defaultRowHeight="15" x14ac:dyDescent="0.2"/>
  <cols>
    <col min="1" max="1" width="34" customWidth="1"/>
    <col min="2" max="5" width="16" customWidth="1"/>
    <col min="6" max="6" width="18" customWidth="1"/>
    <col min="7" max="8" width="12" customWidth="1"/>
  </cols>
  <sheetData>
    <row r="1" spans="1:8" ht="18" x14ac:dyDescent="0.2">
      <c r="A1" s="4" t="s">
        <v>0</v>
      </c>
      <c r="B1" s="4"/>
      <c r="C1" s="4"/>
      <c r="D1" s="4"/>
      <c r="E1" s="4"/>
      <c r="F1" s="4"/>
      <c r="G1" s="4"/>
      <c r="H1" s="4"/>
    </row>
    <row r="2" spans="1:8" x14ac:dyDescent="0.2">
      <c r="A2" s="3" t="s">
        <v>1</v>
      </c>
      <c r="B2" s="3"/>
      <c r="C2" s="3"/>
      <c r="D2" s="3"/>
      <c r="E2" s="3"/>
      <c r="F2" s="3"/>
      <c r="G2" s="3"/>
      <c r="H2" s="3"/>
    </row>
    <row r="4" spans="1:8" ht="65" x14ac:dyDescent="0.2">
      <c r="A4" s="5" t="s">
        <v>2</v>
      </c>
      <c r="B4" s="6" t="s">
        <v>3</v>
      </c>
      <c r="C4" s="7" t="s">
        <v>4</v>
      </c>
      <c r="D4" s="8" t="s">
        <v>5</v>
      </c>
      <c r="E4" s="9" t="s">
        <v>6</v>
      </c>
      <c r="F4" s="8" t="s">
        <v>7</v>
      </c>
      <c r="G4" s="10" t="s">
        <v>8</v>
      </c>
      <c r="H4" s="10" t="s">
        <v>9</v>
      </c>
    </row>
    <row r="5" spans="1:8" x14ac:dyDescent="0.2">
      <c r="A5" s="3" t="s">
        <v>10</v>
      </c>
      <c r="B5" s="3"/>
      <c r="C5" s="3"/>
      <c r="D5" s="3"/>
      <c r="E5" s="3"/>
      <c r="F5" s="3"/>
      <c r="G5" s="3"/>
      <c r="H5" s="3"/>
    </row>
    <row r="6" spans="1:8" ht="39" x14ac:dyDescent="0.2">
      <c r="A6" s="11" t="s">
        <v>11</v>
      </c>
      <c r="B6" s="12">
        <v>34</v>
      </c>
      <c r="C6" s="13">
        <v>33</v>
      </c>
      <c r="D6" s="14">
        <v>28</v>
      </c>
      <c r="E6" s="15">
        <v>34</v>
      </c>
      <c r="F6" s="16">
        <v>27</v>
      </c>
      <c r="G6" s="17" t="s">
        <v>12</v>
      </c>
      <c r="H6" s="18" t="s">
        <v>13</v>
      </c>
    </row>
    <row r="7" spans="1:8" ht="39" x14ac:dyDescent="0.2">
      <c r="A7" s="11" t="s">
        <v>14</v>
      </c>
      <c r="B7" s="12">
        <v>9538</v>
      </c>
      <c r="C7" s="13">
        <v>7904</v>
      </c>
      <c r="D7" s="14">
        <v>7731</v>
      </c>
      <c r="E7" s="15">
        <v>8645</v>
      </c>
      <c r="F7" s="16">
        <v>5538</v>
      </c>
      <c r="G7" s="17" t="s">
        <v>12</v>
      </c>
      <c r="H7" s="18" t="s">
        <v>15</v>
      </c>
    </row>
    <row r="8" spans="1:8" x14ac:dyDescent="0.2">
      <c r="A8" s="11" t="s">
        <v>16</v>
      </c>
      <c r="B8" s="12">
        <v>495976</v>
      </c>
      <c r="C8" s="13">
        <v>411008</v>
      </c>
      <c r="D8" s="14">
        <v>402012</v>
      </c>
      <c r="E8" s="15">
        <v>449540</v>
      </c>
      <c r="F8" s="16">
        <v>287976</v>
      </c>
      <c r="G8" s="17" t="s">
        <v>12</v>
      </c>
      <c r="H8" s="18"/>
    </row>
    <row r="9" spans="1:8" ht="39" x14ac:dyDescent="0.2">
      <c r="A9" s="11" t="s">
        <v>17</v>
      </c>
      <c r="B9" s="19" t="s">
        <v>18</v>
      </c>
      <c r="C9" s="13" t="s">
        <v>18</v>
      </c>
      <c r="D9" s="14" t="s">
        <v>18</v>
      </c>
      <c r="E9" s="15" t="s">
        <v>18</v>
      </c>
      <c r="F9" s="14" t="s">
        <v>18</v>
      </c>
      <c r="G9" s="17" t="s">
        <v>19</v>
      </c>
      <c r="H9" s="18" t="s">
        <v>20</v>
      </c>
    </row>
    <row r="10" spans="1:8" ht="52" x14ac:dyDescent="0.2">
      <c r="A10" s="11" t="s">
        <v>21</v>
      </c>
      <c r="B10" s="12">
        <v>0</v>
      </c>
      <c r="C10" s="13">
        <v>0</v>
      </c>
      <c r="D10" s="14">
        <v>5</v>
      </c>
      <c r="E10" s="15">
        <v>5</v>
      </c>
      <c r="F10" s="14">
        <v>3</v>
      </c>
      <c r="G10" s="17" t="s">
        <v>22</v>
      </c>
      <c r="H10" s="18" t="s">
        <v>23</v>
      </c>
    </row>
    <row r="11" spans="1:8" ht="39" x14ac:dyDescent="0.2">
      <c r="A11" s="11" t="s">
        <v>24</v>
      </c>
      <c r="B11" s="12">
        <v>0</v>
      </c>
      <c r="C11" s="13">
        <v>0</v>
      </c>
      <c r="D11" s="16">
        <v>173</v>
      </c>
      <c r="E11" s="15">
        <v>89</v>
      </c>
      <c r="F11" s="14">
        <v>95</v>
      </c>
      <c r="G11" s="17" t="s">
        <v>25</v>
      </c>
      <c r="H11" s="18" t="s">
        <v>26</v>
      </c>
    </row>
    <row r="12" spans="1:8" ht="39" x14ac:dyDescent="0.2">
      <c r="A12" s="11" t="s">
        <v>27</v>
      </c>
      <c r="B12" s="16">
        <v>8</v>
      </c>
      <c r="C12" s="13">
        <v>8</v>
      </c>
      <c r="D12" s="14">
        <v>8</v>
      </c>
      <c r="E12" s="15">
        <v>9</v>
      </c>
      <c r="F12" s="14">
        <v>8</v>
      </c>
      <c r="G12" s="17" t="s">
        <v>19</v>
      </c>
      <c r="H12" s="18" t="s">
        <v>28</v>
      </c>
    </row>
    <row r="13" spans="1:8" x14ac:dyDescent="0.2">
      <c r="A13" s="11" t="s">
        <v>29</v>
      </c>
      <c r="B13" s="16">
        <v>8</v>
      </c>
      <c r="C13" s="13">
        <v>8</v>
      </c>
      <c r="D13" s="14">
        <v>8</v>
      </c>
      <c r="E13" s="15">
        <v>9</v>
      </c>
      <c r="F13" s="14">
        <v>8</v>
      </c>
      <c r="G13" s="17" t="s">
        <v>19</v>
      </c>
      <c r="H13" s="18"/>
    </row>
    <row r="14" spans="1:8" x14ac:dyDescent="0.2">
      <c r="A14" s="3" t="s">
        <v>30</v>
      </c>
      <c r="B14" s="3"/>
      <c r="C14" s="3"/>
      <c r="D14" s="3"/>
      <c r="E14" s="3"/>
      <c r="F14" s="3"/>
      <c r="G14" s="3"/>
      <c r="H14" s="3"/>
    </row>
    <row r="15" spans="1:8" ht="39" x14ac:dyDescent="0.2">
      <c r="A15" s="11" t="s">
        <v>31</v>
      </c>
      <c r="B15" s="12" t="s">
        <v>32</v>
      </c>
      <c r="C15" s="13" t="s">
        <v>32</v>
      </c>
      <c r="D15" s="14" t="s">
        <v>32</v>
      </c>
      <c r="E15" s="15" t="s">
        <v>33</v>
      </c>
      <c r="F15" s="14" t="s">
        <v>32</v>
      </c>
      <c r="G15" s="17" t="s">
        <v>22</v>
      </c>
      <c r="H15" s="18" t="s">
        <v>34</v>
      </c>
    </row>
    <row r="16" spans="1:8" ht="52" x14ac:dyDescent="0.2">
      <c r="A16" s="11" t="s">
        <v>35</v>
      </c>
      <c r="B16" s="12" t="s">
        <v>36</v>
      </c>
      <c r="C16" s="13" t="s">
        <v>36</v>
      </c>
      <c r="D16" s="14" t="s">
        <v>36</v>
      </c>
      <c r="E16" s="15" t="s">
        <v>36</v>
      </c>
      <c r="F16" s="20" t="s">
        <v>37</v>
      </c>
      <c r="G16" s="17" t="s">
        <v>12</v>
      </c>
      <c r="H16" s="18" t="s">
        <v>38</v>
      </c>
    </row>
    <row r="17" spans="1:8" ht="39" x14ac:dyDescent="0.2">
      <c r="A17" s="11" t="s">
        <v>39</v>
      </c>
      <c r="B17" s="12" t="s">
        <v>40</v>
      </c>
      <c r="C17" s="21" t="s">
        <v>41</v>
      </c>
      <c r="D17" s="14" t="s">
        <v>41</v>
      </c>
      <c r="E17" s="15" t="s">
        <v>41</v>
      </c>
      <c r="F17" s="14" t="s">
        <v>41</v>
      </c>
      <c r="G17" s="17" t="s">
        <v>42</v>
      </c>
      <c r="H17" s="18" t="s">
        <v>43</v>
      </c>
    </row>
    <row r="18" spans="1:8" ht="39" x14ac:dyDescent="0.2">
      <c r="A18" s="11" t="s">
        <v>44</v>
      </c>
      <c r="B18" s="19" t="s">
        <v>45</v>
      </c>
      <c r="C18" s="13" t="s">
        <v>45</v>
      </c>
      <c r="D18" s="14" t="s">
        <v>45</v>
      </c>
      <c r="E18" s="15" t="s">
        <v>45</v>
      </c>
      <c r="F18" s="14" t="s">
        <v>45</v>
      </c>
      <c r="G18" s="17" t="s">
        <v>19</v>
      </c>
      <c r="H18" s="18" t="s">
        <v>46</v>
      </c>
    </row>
    <row r="19" spans="1:8" x14ac:dyDescent="0.2">
      <c r="A19" s="11" t="s">
        <v>47</v>
      </c>
      <c r="B19" s="12" t="s">
        <v>48</v>
      </c>
      <c r="C19" s="13" t="s">
        <v>48</v>
      </c>
      <c r="D19" s="20" t="s">
        <v>45</v>
      </c>
      <c r="E19" s="15" t="s">
        <v>45</v>
      </c>
      <c r="F19" s="14" t="s">
        <v>45</v>
      </c>
      <c r="G19" s="17" t="s">
        <v>25</v>
      </c>
      <c r="H19" s="18"/>
    </row>
    <row r="20" spans="1:8" ht="52" x14ac:dyDescent="0.2">
      <c r="A20" s="11" t="s">
        <v>49</v>
      </c>
      <c r="B20" s="12" t="s">
        <v>48</v>
      </c>
      <c r="C20" s="13" t="s">
        <v>48</v>
      </c>
      <c r="D20" s="14" t="s">
        <v>48</v>
      </c>
      <c r="E20" s="15" t="s">
        <v>48</v>
      </c>
      <c r="F20" s="20" t="s">
        <v>45</v>
      </c>
      <c r="G20" s="17" t="s">
        <v>12</v>
      </c>
      <c r="H20" s="18" t="s">
        <v>50</v>
      </c>
    </row>
    <row r="21" spans="1:8" ht="39" x14ac:dyDescent="0.2">
      <c r="A21" s="11" t="s">
        <v>51</v>
      </c>
      <c r="B21" s="19" t="s">
        <v>45</v>
      </c>
      <c r="C21" s="13" t="s">
        <v>45</v>
      </c>
      <c r="D21" s="14" t="s">
        <v>45</v>
      </c>
      <c r="E21" s="15" t="s">
        <v>45</v>
      </c>
      <c r="F21" s="14" t="s">
        <v>45</v>
      </c>
      <c r="G21" s="17" t="s">
        <v>19</v>
      </c>
      <c r="H21" s="18" t="s">
        <v>52</v>
      </c>
    </row>
    <row r="22" spans="1:8" x14ac:dyDescent="0.2">
      <c r="A22" s="3" t="s">
        <v>53</v>
      </c>
      <c r="B22" s="3"/>
      <c r="C22" s="3"/>
      <c r="D22" s="3"/>
      <c r="E22" s="3"/>
      <c r="F22" s="3"/>
      <c r="G22" s="3"/>
      <c r="H22" s="3"/>
    </row>
    <row r="23" spans="1:8" x14ac:dyDescent="0.2">
      <c r="A23" s="22" t="s">
        <v>54</v>
      </c>
      <c r="B23" s="23">
        <v>1886</v>
      </c>
      <c r="C23" s="24">
        <v>1525</v>
      </c>
      <c r="D23" s="25">
        <v>1688</v>
      </c>
      <c r="E23" s="26">
        <v>2144</v>
      </c>
      <c r="F23" s="27">
        <v>1196</v>
      </c>
      <c r="G23" s="17" t="s">
        <v>12</v>
      </c>
      <c r="H23" s="28"/>
    </row>
    <row r="24" spans="1:8" x14ac:dyDescent="0.2">
      <c r="A24" s="22" t="s">
        <v>55</v>
      </c>
      <c r="B24" s="23">
        <v>2042</v>
      </c>
      <c r="C24" s="24">
        <v>1943</v>
      </c>
      <c r="D24" s="25">
        <v>2114</v>
      </c>
      <c r="E24" s="26">
        <v>2179</v>
      </c>
      <c r="F24" s="27">
        <v>1712</v>
      </c>
      <c r="G24" s="17" t="s">
        <v>12</v>
      </c>
      <c r="H24" s="28"/>
    </row>
    <row r="25" spans="1:8" x14ac:dyDescent="0.2">
      <c r="A25" s="22" t="s">
        <v>56</v>
      </c>
      <c r="B25" s="23">
        <v>1574</v>
      </c>
      <c r="C25" s="24">
        <v>1424</v>
      </c>
      <c r="D25" s="25">
        <v>1519</v>
      </c>
      <c r="E25" s="26">
        <v>1172</v>
      </c>
      <c r="F25" s="27">
        <v>1055</v>
      </c>
      <c r="G25" s="17" t="s">
        <v>12</v>
      </c>
      <c r="H25" s="28"/>
    </row>
    <row r="26" spans="1:8" x14ac:dyDescent="0.2">
      <c r="A26" s="22" t="s">
        <v>57</v>
      </c>
      <c r="B26" s="23">
        <v>2100</v>
      </c>
      <c r="C26" s="24">
        <v>1539</v>
      </c>
      <c r="D26" s="25">
        <v>937</v>
      </c>
      <c r="E26" s="26">
        <v>1838</v>
      </c>
      <c r="F26" s="27">
        <v>325</v>
      </c>
      <c r="G26" s="17" t="s">
        <v>12</v>
      </c>
      <c r="H26" s="28"/>
    </row>
    <row r="27" spans="1:8" x14ac:dyDescent="0.2">
      <c r="A27" s="22" t="s">
        <v>58</v>
      </c>
      <c r="B27" s="23">
        <v>1936</v>
      </c>
      <c r="C27" s="24">
        <v>1473</v>
      </c>
      <c r="D27" s="25">
        <v>1473</v>
      </c>
      <c r="E27" s="26">
        <v>1312</v>
      </c>
      <c r="F27" s="27">
        <v>1250</v>
      </c>
      <c r="G27" s="17" t="s">
        <v>12</v>
      </c>
      <c r="H27" s="28"/>
    </row>
    <row r="28" spans="1:8" x14ac:dyDescent="0.2">
      <c r="A28" s="11" t="s">
        <v>59</v>
      </c>
      <c r="B28" s="23">
        <v>9538</v>
      </c>
      <c r="C28" s="24">
        <v>7904</v>
      </c>
      <c r="D28" s="25">
        <v>7731</v>
      </c>
      <c r="E28" s="26">
        <v>8645</v>
      </c>
      <c r="F28" s="27">
        <v>5538</v>
      </c>
      <c r="G28" s="17" t="s">
        <v>12</v>
      </c>
      <c r="H28" s="28"/>
    </row>
    <row r="29" spans="1:8" x14ac:dyDescent="0.2">
      <c r="A29" s="3" t="s">
        <v>60</v>
      </c>
      <c r="B29" s="3"/>
      <c r="C29" s="3"/>
      <c r="D29" s="3"/>
      <c r="E29" s="3"/>
      <c r="F29" s="3"/>
      <c r="G29" s="3"/>
      <c r="H29" s="3"/>
    </row>
    <row r="30" spans="1:8" x14ac:dyDescent="0.2">
      <c r="A30" s="22" t="s">
        <v>54</v>
      </c>
      <c r="B30" s="29">
        <v>6</v>
      </c>
      <c r="C30" s="30">
        <v>5</v>
      </c>
      <c r="D30" s="31">
        <v>5</v>
      </c>
      <c r="E30" s="32">
        <v>7</v>
      </c>
      <c r="F30" s="31">
        <v>5</v>
      </c>
      <c r="G30" s="17" t="s">
        <v>42</v>
      </c>
      <c r="H30" s="28"/>
    </row>
    <row r="31" spans="1:8" x14ac:dyDescent="0.2">
      <c r="A31" s="22" t="s">
        <v>55</v>
      </c>
      <c r="B31" s="29">
        <v>7</v>
      </c>
      <c r="C31" s="33">
        <v>8</v>
      </c>
      <c r="D31" s="31">
        <v>7</v>
      </c>
      <c r="E31" s="32">
        <v>8</v>
      </c>
      <c r="F31" s="30">
        <v>5</v>
      </c>
      <c r="G31" s="17" t="s">
        <v>12</v>
      </c>
      <c r="H31" s="28"/>
    </row>
    <row r="32" spans="1:8" x14ac:dyDescent="0.2">
      <c r="A32" s="22" t="s">
        <v>56</v>
      </c>
      <c r="B32" s="29">
        <v>6</v>
      </c>
      <c r="C32" s="33">
        <v>7</v>
      </c>
      <c r="D32" s="30">
        <v>5</v>
      </c>
      <c r="E32" s="32">
        <v>5</v>
      </c>
      <c r="F32" s="31">
        <v>6</v>
      </c>
      <c r="G32" s="17" t="s">
        <v>25</v>
      </c>
      <c r="H32" s="28"/>
    </row>
    <row r="33" spans="1:8" x14ac:dyDescent="0.2">
      <c r="A33" s="22" t="s">
        <v>57</v>
      </c>
      <c r="B33" s="29">
        <v>8</v>
      </c>
      <c r="C33" s="33">
        <v>7</v>
      </c>
      <c r="D33" s="31">
        <v>5</v>
      </c>
      <c r="E33" s="32">
        <v>8</v>
      </c>
      <c r="F33" s="30">
        <v>4</v>
      </c>
      <c r="G33" s="17" t="s">
        <v>12</v>
      </c>
      <c r="H33" s="28"/>
    </row>
    <row r="34" spans="1:8" x14ac:dyDescent="0.2">
      <c r="A34" s="22" t="s">
        <v>58</v>
      </c>
      <c r="B34" s="29">
        <v>7</v>
      </c>
      <c r="C34" s="30">
        <v>6</v>
      </c>
      <c r="D34" s="31">
        <v>6</v>
      </c>
      <c r="E34" s="32">
        <v>6</v>
      </c>
      <c r="F34" s="31">
        <v>7</v>
      </c>
      <c r="G34" s="17" t="s">
        <v>42</v>
      </c>
      <c r="H34" s="28"/>
    </row>
    <row r="35" spans="1:8" x14ac:dyDescent="0.2">
      <c r="A35" s="11" t="s">
        <v>59</v>
      </c>
      <c r="B35" s="29">
        <v>34</v>
      </c>
      <c r="C35" s="33">
        <v>33</v>
      </c>
      <c r="D35" s="31">
        <v>28</v>
      </c>
      <c r="E35" s="32">
        <v>34</v>
      </c>
      <c r="F35" s="30">
        <v>27</v>
      </c>
      <c r="G35" s="17" t="s">
        <v>12</v>
      </c>
      <c r="H35" s="28"/>
    </row>
    <row r="36" spans="1:8" x14ac:dyDescent="0.2">
      <c r="A36" s="3" t="s">
        <v>61</v>
      </c>
      <c r="B36" s="3"/>
      <c r="C36" s="3"/>
      <c r="D36" s="3"/>
      <c r="E36" s="3"/>
      <c r="F36" s="3"/>
      <c r="G36" s="3"/>
      <c r="H36" s="3"/>
    </row>
    <row r="37" spans="1:8" x14ac:dyDescent="0.2">
      <c r="A37" s="11" t="s">
        <v>62</v>
      </c>
      <c r="B37" s="34">
        <v>0</v>
      </c>
      <c r="C37" s="35">
        <v>1634</v>
      </c>
      <c r="D37" s="36">
        <v>1807</v>
      </c>
      <c r="E37" s="37">
        <v>893</v>
      </c>
      <c r="F37" s="38">
        <v>4000</v>
      </c>
      <c r="G37" s="17" t="s">
        <v>12</v>
      </c>
      <c r="H37" s="28"/>
    </row>
    <row r="38" spans="1:8" x14ac:dyDescent="0.2">
      <c r="A38" s="11" t="s">
        <v>63</v>
      </c>
      <c r="B38" s="39">
        <v>0</v>
      </c>
      <c r="C38" s="40">
        <v>0.171314741035857</v>
      </c>
      <c r="D38" s="41">
        <v>0.18945271545397399</v>
      </c>
      <c r="E38" s="42">
        <v>9.36254980079681E-2</v>
      </c>
      <c r="F38" s="43">
        <v>0.41937513105472901</v>
      </c>
      <c r="G38" s="17" t="s">
        <v>12</v>
      </c>
      <c r="H38" s="28"/>
    </row>
    <row r="39" spans="1:8" x14ac:dyDescent="0.2">
      <c r="A39" s="11" t="s">
        <v>64</v>
      </c>
      <c r="B39" s="34">
        <v>0</v>
      </c>
      <c r="C39" s="35">
        <v>84968</v>
      </c>
      <c r="D39" s="36">
        <v>93964</v>
      </c>
      <c r="E39" s="37">
        <v>46436</v>
      </c>
      <c r="F39" s="38">
        <v>208000</v>
      </c>
      <c r="G39" s="17" t="s">
        <v>12</v>
      </c>
      <c r="H39" s="28"/>
    </row>
  </sheetData>
  <mergeCells count="7">
    <mergeCell ref="A29:H29"/>
    <mergeCell ref="A36:H36"/>
    <mergeCell ref="A1:H1"/>
    <mergeCell ref="A2:H2"/>
    <mergeCell ref="A5:H5"/>
    <mergeCell ref="A14:H14"/>
    <mergeCell ref="A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showGridLines="0" zoomScaleNormal="100" workbookViewId="0">
      <selection sqref="A1:G1"/>
    </sheetView>
  </sheetViews>
  <sheetFormatPr baseColWidth="10" defaultColWidth="8.6640625" defaultRowHeight="15" x14ac:dyDescent="0.2"/>
  <cols>
    <col min="1" max="1" width="10" customWidth="1"/>
    <col min="2" max="3" width="16" customWidth="1"/>
    <col min="4" max="4" width="18" customWidth="1"/>
    <col min="5" max="5" width="16" customWidth="1"/>
    <col min="6" max="6" width="18" customWidth="1"/>
    <col min="7" max="7" width="14" customWidth="1"/>
  </cols>
  <sheetData>
    <row r="1" spans="1:7" ht="30" customHeight="1" x14ac:dyDescent="0.2">
      <c r="A1" s="2" t="s">
        <v>65</v>
      </c>
      <c r="B1" s="2"/>
      <c r="C1" s="2"/>
      <c r="D1" s="2"/>
      <c r="E1" s="2"/>
      <c r="F1" s="2"/>
      <c r="G1" s="2"/>
    </row>
    <row r="2" spans="1:7" ht="24" customHeight="1" x14ac:dyDescent="0.2">
      <c r="A2" s="44" t="s">
        <v>66</v>
      </c>
      <c r="B2" s="45" t="s">
        <v>19</v>
      </c>
      <c r="C2" s="46" t="s">
        <v>42</v>
      </c>
      <c r="D2" s="47" t="s">
        <v>25</v>
      </c>
      <c r="E2" s="48" t="s">
        <v>67</v>
      </c>
      <c r="F2" s="47" t="s">
        <v>12</v>
      </c>
      <c r="G2" s="44" t="s">
        <v>68</v>
      </c>
    </row>
    <row r="3" spans="1:7" ht="19.5" customHeight="1" x14ac:dyDescent="0.2">
      <c r="A3" s="49" t="s">
        <v>54</v>
      </c>
      <c r="B3" s="23">
        <v>1886</v>
      </c>
      <c r="C3" s="24">
        <v>1525</v>
      </c>
      <c r="D3" s="25">
        <v>1688</v>
      </c>
      <c r="E3" s="26">
        <v>2144</v>
      </c>
      <c r="F3" s="27">
        <v>1196</v>
      </c>
      <c r="G3" s="17" t="s">
        <v>12</v>
      </c>
    </row>
    <row r="4" spans="1:7" ht="19.5" customHeight="1" x14ac:dyDescent="0.2">
      <c r="A4" s="49" t="s">
        <v>55</v>
      </c>
      <c r="B4" s="23">
        <v>2042</v>
      </c>
      <c r="C4" s="24">
        <v>1943</v>
      </c>
      <c r="D4" s="25">
        <v>2114</v>
      </c>
      <c r="E4" s="26">
        <v>2179</v>
      </c>
      <c r="F4" s="27">
        <v>1712</v>
      </c>
      <c r="G4" s="17" t="s">
        <v>12</v>
      </c>
    </row>
    <row r="5" spans="1:7" ht="19.5" customHeight="1" x14ac:dyDescent="0.2">
      <c r="A5" s="49" t="s">
        <v>56</v>
      </c>
      <c r="B5" s="23">
        <v>1574</v>
      </c>
      <c r="C5" s="24">
        <v>1424</v>
      </c>
      <c r="D5" s="25">
        <v>1519</v>
      </c>
      <c r="E5" s="26">
        <v>1172</v>
      </c>
      <c r="F5" s="27">
        <v>1055</v>
      </c>
      <c r="G5" s="17" t="s">
        <v>12</v>
      </c>
    </row>
    <row r="6" spans="1:7" ht="19.5" customHeight="1" x14ac:dyDescent="0.2">
      <c r="A6" s="49" t="s">
        <v>57</v>
      </c>
      <c r="B6" s="23">
        <v>2100</v>
      </c>
      <c r="C6" s="24">
        <v>1539</v>
      </c>
      <c r="D6" s="25">
        <v>937</v>
      </c>
      <c r="E6" s="26">
        <v>1838</v>
      </c>
      <c r="F6" s="27">
        <v>325</v>
      </c>
      <c r="G6" s="17" t="s">
        <v>12</v>
      </c>
    </row>
    <row r="7" spans="1:7" ht="19.5" customHeight="1" x14ac:dyDescent="0.2">
      <c r="A7" s="49" t="s">
        <v>58</v>
      </c>
      <c r="B7" s="23">
        <v>1936</v>
      </c>
      <c r="C7" s="24">
        <v>1473</v>
      </c>
      <c r="D7" s="25">
        <v>1473</v>
      </c>
      <c r="E7" s="26">
        <v>1312</v>
      </c>
      <c r="F7" s="27">
        <v>1250</v>
      </c>
      <c r="G7" s="17" t="s">
        <v>12</v>
      </c>
    </row>
    <row r="8" spans="1:7" ht="19.5" customHeight="1" x14ac:dyDescent="0.2">
      <c r="A8" s="50" t="s">
        <v>59</v>
      </c>
      <c r="B8" s="51">
        <v>9538</v>
      </c>
      <c r="C8" s="51">
        <v>7904</v>
      </c>
      <c r="D8" s="51">
        <v>7731</v>
      </c>
      <c r="E8" s="51">
        <v>8645</v>
      </c>
      <c r="F8" s="27">
        <v>5538</v>
      </c>
      <c r="G8" s="17" t="s">
        <v>12</v>
      </c>
    </row>
    <row r="10" spans="1:7" ht="21.75" customHeight="1" x14ac:dyDescent="0.2">
      <c r="A10" s="1" t="s">
        <v>69</v>
      </c>
      <c r="B10" s="1"/>
      <c r="C10" s="1"/>
      <c r="D10" s="1"/>
      <c r="E10" s="1"/>
      <c r="F10" s="1"/>
      <c r="G10" s="1"/>
    </row>
    <row r="11" spans="1:7" ht="21.75" customHeight="1" x14ac:dyDescent="0.2">
      <c r="A11" s="44" t="s">
        <v>66</v>
      </c>
      <c r="B11" s="45" t="s">
        <v>19</v>
      </c>
      <c r="C11" s="46" t="s">
        <v>42</v>
      </c>
      <c r="D11" s="47" t="s">
        <v>25</v>
      </c>
      <c r="E11" s="48" t="s">
        <v>67</v>
      </c>
      <c r="F11" s="47" t="s">
        <v>12</v>
      </c>
      <c r="G11" s="44" t="s">
        <v>68</v>
      </c>
    </row>
    <row r="12" spans="1:7" ht="19.5" customHeight="1" x14ac:dyDescent="0.2">
      <c r="A12" s="52" t="s">
        <v>54</v>
      </c>
      <c r="B12" s="39">
        <v>0</v>
      </c>
      <c r="C12" s="40">
        <v>0.19141039236479299</v>
      </c>
      <c r="D12" s="41">
        <v>0.10498409331919401</v>
      </c>
      <c r="E12" s="42">
        <v>-0.13679745493107101</v>
      </c>
      <c r="F12" s="43">
        <v>0.36585365853658502</v>
      </c>
      <c r="G12" s="17" t="s">
        <v>12</v>
      </c>
    </row>
    <row r="13" spans="1:7" ht="19.5" customHeight="1" x14ac:dyDescent="0.2">
      <c r="A13" s="52" t="s">
        <v>55</v>
      </c>
      <c r="B13" s="39">
        <v>0</v>
      </c>
      <c r="C13" s="40">
        <v>4.8481880509304603E-2</v>
      </c>
      <c r="D13" s="41">
        <v>-3.5259549461312399E-2</v>
      </c>
      <c r="E13" s="42">
        <v>-6.7091087169441704E-2</v>
      </c>
      <c r="F13" s="43">
        <v>0.16160626836434899</v>
      </c>
      <c r="G13" s="17" t="s">
        <v>12</v>
      </c>
    </row>
    <row r="14" spans="1:7" ht="19.5" customHeight="1" x14ac:dyDescent="0.2">
      <c r="A14" s="52" t="s">
        <v>56</v>
      </c>
      <c r="B14" s="39">
        <v>0</v>
      </c>
      <c r="C14" s="40">
        <v>9.5298602287166495E-2</v>
      </c>
      <c r="D14" s="41">
        <v>3.4942820838627701E-2</v>
      </c>
      <c r="E14" s="42">
        <v>0.25540025412960599</v>
      </c>
      <c r="F14" s="43">
        <v>0.32973316391359597</v>
      </c>
      <c r="G14" s="17" t="s">
        <v>12</v>
      </c>
    </row>
    <row r="15" spans="1:7" ht="19.5" customHeight="1" x14ac:dyDescent="0.2">
      <c r="A15" s="52" t="s">
        <v>57</v>
      </c>
      <c r="B15" s="39">
        <v>0</v>
      </c>
      <c r="C15" s="40">
        <v>0.26714285714285702</v>
      </c>
      <c r="D15" s="41">
        <v>0.55380952380952397</v>
      </c>
      <c r="E15" s="42">
        <v>0.124761904761905</v>
      </c>
      <c r="F15" s="43">
        <v>0.84523809523809501</v>
      </c>
      <c r="G15" s="17" t="s">
        <v>12</v>
      </c>
    </row>
    <row r="16" spans="1:7" ht="19.5" customHeight="1" x14ac:dyDescent="0.2">
      <c r="A16" s="52" t="s">
        <v>58</v>
      </c>
      <c r="B16" s="39">
        <v>0</v>
      </c>
      <c r="C16" s="40">
        <v>0.23915289256198399</v>
      </c>
      <c r="D16" s="41">
        <v>0.23915289256198399</v>
      </c>
      <c r="E16" s="42">
        <v>0.32231404958677701</v>
      </c>
      <c r="F16" s="43">
        <v>0.35433884297520701</v>
      </c>
      <c r="G16" s="17" t="s">
        <v>12</v>
      </c>
    </row>
    <row r="17" spans="1:7" ht="19.5" customHeight="1" x14ac:dyDescent="0.2">
      <c r="A17" s="49" t="s">
        <v>59</v>
      </c>
      <c r="B17" s="39">
        <v>0</v>
      </c>
      <c r="C17" s="40">
        <v>0.171314741035857</v>
      </c>
      <c r="D17" s="41">
        <v>0.18945271545397399</v>
      </c>
      <c r="E17" s="42">
        <v>9.36254980079681E-2</v>
      </c>
      <c r="F17" s="43">
        <v>0.41937513105472901</v>
      </c>
      <c r="G17" s="17" t="s">
        <v>12</v>
      </c>
    </row>
  </sheetData>
  <mergeCells count="2">
    <mergeCell ref="A1:G1"/>
    <mergeCell ref="A10:G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zoomScaleNormal="100" workbookViewId="0">
      <selection sqref="A1:H1"/>
    </sheetView>
  </sheetViews>
  <sheetFormatPr baseColWidth="10" defaultColWidth="8.6640625" defaultRowHeight="15" x14ac:dyDescent="0.2"/>
  <cols>
    <col min="1" max="1" width="28" customWidth="1"/>
    <col min="2" max="3" width="14" customWidth="1"/>
    <col min="4" max="4" width="16" customWidth="1"/>
    <col min="5" max="5" width="14" customWidth="1"/>
    <col min="6" max="6" width="16" customWidth="1"/>
    <col min="7" max="7" width="14" customWidth="1"/>
    <col min="8" max="8" width="28" customWidth="1"/>
  </cols>
  <sheetData>
    <row r="1" spans="1:8" ht="30" customHeight="1" x14ac:dyDescent="0.2">
      <c r="A1" s="2" t="s">
        <v>70</v>
      </c>
      <c r="B1" s="2"/>
      <c r="C1" s="2"/>
      <c r="D1" s="2"/>
      <c r="E1" s="2"/>
      <c r="F1" s="2"/>
      <c r="G1" s="2"/>
      <c r="H1" s="2"/>
    </row>
    <row r="2" spans="1:8" ht="24" customHeight="1" x14ac:dyDescent="0.2">
      <c r="A2" s="5" t="s">
        <v>2</v>
      </c>
      <c r="B2" s="19" t="s">
        <v>19</v>
      </c>
      <c r="C2" s="21" t="s">
        <v>42</v>
      </c>
      <c r="D2" s="20" t="s">
        <v>25</v>
      </c>
      <c r="E2" s="53" t="s">
        <v>67</v>
      </c>
      <c r="F2" s="20" t="s">
        <v>12</v>
      </c>
      <c r="G2" s="5" t="s">
        <v>71</v>
      </c>
      <c r="H2" s="5" t="s">
        <v>9</v>
      </c>
    </row>
    <row r="3" spans="1:8" ht="19.5" customHeight="1" x14ac:dyDescent="0.2">
      <c r="A3" s="11" t="s">
        <v>11</v>
      </c>
      <c r="B3" s="29">
        <v>34</v>
      </c>
      <c r="C3" s="33">
        <v>33</v>
      </c>
      <c r="D3" s="31">
        <v>28</v>
      </c>
      <c r="E3" s="32">
        <v>34</v>
      </c>
      <c r="F3" s="30">
        <v>27</v>
      </c>
      <c r="G3" s="17" t="s">
        <v>12</v>
      </c>
      <c r="H3" s="18" t="s">
        <v>72</v>
      </c>
    </row>
    <row r="4" spans="1:8" ht="19.5" customHeight="1" x14ac:dyDescent="0.2">
      <c r="A4" s="11" t="s">
        <v>73</v>
      </c>
      <c r="B4" s="29">
        <v>34</v>
      </c>
      <c r="C4" s="33">
        <v>33</v>
      </c>
      <c r="D4" s="30">
        <v>28</v>
      </c>
      <c r="E4" s="32">
        <v>24</v>
      </c>
      <c r="F4" s="31">
        <v>27</v>
      </c>
      <c r="G4" s="17" t="s">
        <v>25</v>
      </c>
      <c r="H4" s="18" t="s">
        <v>74</v>
      </c>
    </row>
    <row r="5" spans="1:8" ht="19.5" customHeight="1" x14ac:dyDescent="0.2">
      <c r="A5" s="11" t="s">
        <v>75</v>
      </c>
      <c r="B5" s="29">
        <v>0</v>
      </c>
      <c r="C5" s="33">
        <v>0</v>
      </c>
      <c r="D5" s="31">
        <v>0</v>
      </c>
      <c r="E5" s="32">
        <v>10</v>
      </c>
      <c r="F5" s="31">
        <v>0</v>
      </c>
      <c r="G5" s="54" t="s">
        <v>76</v>
      </c>
      <c r="H5" s="18" t="s">
        <v>77</v>
      </c>
    </row>
    <row r="6" spans="1:8" ht="19.5" customHeight="1" x14ac:dyDescent="0.2">
      <c r="A6" s="11" t="s">
        <v>21</v>
      </c>
      <c r="B6" s="29">
        <v>0</v>
      </c>
      <c r="C6" s="33">
        <v>0</v>
      </c>
      <c r="D6" s="31">
        <v>5</v>
      </c>
      <c r="E6" s="32">
        <v>5</v>
      </c>
      <c r="F6" s="31">
        <v>3</v>
      </c>
      <c r="G6" s="54" t="s">
        <v>76</v>
      </c>
      <c r="H6" s="18" t="s">
        <v>78</v>
      </c>
    </row>
    <row r="7" spans="1:8" ht="19.5" customHeight="1" x14ac:dyDescent="0.2">
      <c r="A7" s="11" t="s">
        <v>79</v>
      </c>
      <c r="B7" s="55">
        <v>7.68</v>
      </c>
      <c r="C7" s="56">
        <v>7.91</v>
      </c>
      <c r="D7" s="57">
        <v>9.32</v>
      </c>
      <c r="E7" s="58">
        <v>7.68</v>
      </c>
      <c r="F7" s="59">
        <v>9.67</v>
      </c>
      <c r="G7" s="17" t="s">
        <v>12</v>
      </c>
      <c r="H7" s="18" t="s">
        <v>80</v>
      </c>
    </row>
    <row r="8" spans="1:8" ht="19.5" customHeight="1" x14ac:dyDescent="0.2">
      <c r="A8" s="11" t="s">
        <v>81</v>
      </c>
      <c r="B8" s="55">
        <v>280.5</v>
      </c>
      <c r="C8" s="56">
        <v>239.5</v>
      </c>
      <c r="D8" s="57">
        <v>276.10000000000002</v>
      </c>
      <c r="E8" s="58">
        <v>254.3</v>
      </c>
      <c r="F8" s="59">
        <v>205.1</v>
      </c>
      <c r="G8" s="17" t="s">
        <v>12</v>
      </c>
      <c r="H8" s="18" t="s">
        <v>82</v>
      </c>
    </row>
    <row r="9" spans="1:8" ht="19.5" customHeight="1" x14ac:dyDescent="0.2">
      <c r="A9" s="11" t="s">
        <v>27</v>
      </c>
      <c r="B9" s="30">
        <v>8</v>
      </c>
      <c r="C9" s="33">
        <v>8</v>
      </c>
      <c r="D9" s="31">
        <v>8</v>
      </c>
      <c r="E9" s="32">
        <v>9</v>
      </c>
      <c r="F9" s="31">
        <v>8</v>
      </c>
      <c r="G9" s="17" t="s">
        <v>19</v>
      </c>
      <c r="H9" s="18" t="s">
        <v>83</v>
      </c>
    </row>
    <row r="10" spans="1:8" ht="19.5" customHeight="1" x14ac:dyDescent="0.2">
      <c r="A10" s="11" t="s">
        <v>29</v>
      </c>
      <c r="B10" s="30">
        <v>8</v>
      </c>
      <c r="C10" s="33">
        <v>8</v>
      </c>
      <c r="D10" s="31">
        <v>8</v>
      </c>
      <c r="E10" s="32">
        <v>9</v>
      </c>
      <c r="F10" s="31">
        <v>8</v>
      </c>
      <c r="G10" s="17" t="s">
        <v>19</v>
      </c>
      <c r="H10" s="18" t="s">
        <v>84</v>
      </c>
    </row>
    <row r="11" spans="1:8" ht="19.5" customHeight="1" x14ac:dyDescent="0.2">
      <c r="A11" s="11" t="s">
        <v>85</v>
      </c>
      <c r="B11" s="23">
        <v>9538</v>
      </c>
      <c r="C11" s="24">
        <v>7904</v>
      </c>
      <c r="D11" s="25">
        <v>7731</v>
      </c>
      <c r="E11" s="26">
        <v>8645</v>
      </c>
      <c r="F11" s="27">
        <v>5538</v>
      </c>
      <c r="G11" s="17" t="s">
        <v>12</v>
      </c>
      <c r="H11" s="18"/>
    </row>
    <row r="12" spans="1:8" ht="19.5" customHeight="1" x14ac:dyDescent="0.2">
      <c r="A12" s="11" t="s">
        <v>16</v>
      </c>
      <c r="B12" s="23">
        <v>495976</v>
      </c>
      <c r="C12" s="24">
        <v>411008</v>
      </c>
      <c r="D12" s="25">
        <v>402012</v>
      </c>
      <c r="E12" s="26">
        <v>449540</v>
      </c>
      <c r="F12" s="27">
        <v>287976</v>
      </c>
      <c r="G12" s="17" t="s">
        <v>12</v>
      </c>
      <c r="H12" s="18"/>
    </row>
    <row r="13" spans="1:8" ht="19.5" customHeight="1" x14ac:dyDescent="0.2">
      <c r="A13" s="11" t="s">
        <v>86</v>
      </c>
      <c r="B13" s="29">
        <v>0</v>
      </c>
      <c r="C13" s="24">
        <v>44968</v>
      </c>
      <c r="D13" s="25">
        <v>97916</v>
      </c>
      <c r="E13" s="26">
        <v>46436</v>
      </c>
      <c r="F13" s="27">
        <v>211588</v>
      </c>
      <c r="G13" s="17" t="s">
        <v>12</v>
      </c>
      <c r="H13" s="18" t="s">
        <v>87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showGridLines="0" zoomScaleNormal="100" workbookViewId="0">
      <selection sqref="A1:D1"/>
    </sheetView>
  </sheetViews>
  <sheetFormatPr baseColWidth="10" defaultColWidth="8.6640625" defaultRowHeight="15" x14ac:dyDescent="0.2"/>
  <cols>
    <col min="1" max="1" width="20" customWidth="1"/>
    <col min="2" max="3" width="22" customWidth="1"/>
    <col min="4" max="4" width="38" customWidth="1"/>
  </cols>
  <sheetData>
    <row r="1" spans="1:4" ht="30" customHeight="1" x14ac:dyDescent="0.2">
      <c r="A1" s="2" t="s">
        <v>88</v>
      </c>
      <c r="B1" s="2"/>
      <c r="C1" s="2"/>
      <c r="D1" s="2"/>
    </row>
    <row r="2" spans="1:4" ht="21.75" customHeight="1" x14ac:dyDescent="0.2">
      <c r="A2" s="50" t="s">
        <v>89</v>
      </c>
      <c r="B2" s="50" t="s">
        <v>90</v>
      </c>
      <c r="C2" s="50" t="s">
        <v>91</v>
      </c>
      <c r="D2" s="50" t="s">
        <v>92</v>
      </c>
    </row>
    <row r="3" spans="1:4" ht="63.75" customHeight="1" x14ac:dyDescent="0.2">
      <c r="A3" s="19" t="s">
        <v>93</v>
      </c>
      <c r="B3" s="60" t="s">
        <v>94</v>
      </c>
      <c r="C3" s="60" t="s">
        <v>95</v>
      </c>
      <c r="D3" s="60" t="s">
        <v>96</v>
      </c>
    </row>
    <row r="4" spans="1:4" ht="63.75" customHeight="1" x14ac:dyDescent="0.2">
      <c r="A4" s="21" t="s">
        <v>97</v>
      </c>
      <c r="B4" s="61" t="s">
        <v>98</v>
      </c>
      <c r="C4" s="61" t="s">
        <v>99</v>
      </c>
      <c r="D4" s="61" t="s">
        <v>100</v>
      </c>
    </row>
    <row r="5" spans="1:4" ht="63.75" customHeight="1" x14ac:dyDescent="0.2">
      <c r="A5" s="20" t="s">
        <v>101</v>
      </c>
      <c r="B5" s="62" t="s">
        <v>102</v>
      </c>
      <c r="C5" s="62" t="s">
        <v>103</v>
      </c>
      <c r="D5" s="62" t="s">
        <v>104</v>
      </c>
    </row>
    <row r="6" spans="1:4" ht="63.75" customHeight="1" x14ac:dyDescent="0.2">
      <c r="A6" s="53" t="s">
        <v>105</v>
      </c>
      <c r="B6" s="63" t="s">
        <v>106</v>
      </c>
      <c r="C6" s="63" t="s">
        <v>107</v>
      </c>
      <c r="D6" s="63" t="s">
        <v>108</v>
      </c>
    </row>
    <row r="7" spans="1:4" ht="81.75" customHeight="1" x14ac:dyDescent="0.2">
      <c r="A7" s="20" t="s">
        <v>109</v>
      </c>
      <c r="B7" s="62" t="s">
        <v>110</v>
      </c>
      <c r="C7" s="62" t="s">
        <v>111</v>
      </c>
      <c r="D7" s="64" t="s">
        <v>112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"/>
  <sheetViews>
    <sheetView showGridLines="0" zoomScale="150" zoomScaleNormal="100" workbookViewId="0">
      <selection activeCell="G3" sqref="G3"/>
    </sheetView>
  </sheetViews>
  <sheetFormatPr baseColWidth="10" defaultColWidth="8.6640625" defaultRowHeight="15" x14ac:dyDescent="0.2"/>
  <cols>
    <col min="1" max="1" width="10" customWidth="1"/>
    <col min="2" max="3" width="12" customWidth="1"/>
    <col min="4" max="4" width="14" customWidth="1"/>
    <col min="5" max="5" width="12" customWidth="1"/>
    <col min="6" max="6" width="14" customWidth="1"/>
    <col min="7" max="7" width="10" customWidth="1"/>
  </cols>
  <sheetData>
    <row r="1" spans="1:7" ht="27.75" customHeight="1" x14ac:dyDescent="0.2">
      <c r="A1" s="2" t="s">
        <v>113</v>
      </c>
      <c r="B1" s="2"/>
      <c r="C1" s="2"/>
      <c r="D1" s="2"/>
      <c r="E1" s="2"/>
      <c r="F1" s="2"/>
      <c r="G1" s="2"/>
    </row>
    <row r="2" spans="1:7" ht="19.5" customHeight="1" x14ac:dyDescent="0.2">
      <c r="A2" s="5" t="s">
        <v>66</v>
      </c>
      <c r="B2" s="65" t="s">
        <v>19</v>
      </c>
      <c r="C2" s="66" t="s">
        <v>42</v>
      </c>
      <c r="D2" s="67" t="s">
        <v>25</v>
      </c>
      <c r="E2" s="68" t="s">
        <v>67</v>
      </c>
      <c r="F2" s="67" t="s">
        <v>12</v>
      </c>
    </row>
    <row r="3" spans="1:7" ht="18" customHeight="1" x14ac:dyDescent="0.2">
      <c r="A3" s="69" t="s">
        <v>54</v>
      </c>
      <c r="B3" s="70">
        <v>1886</v>
      </c>
      <c r="C3" s="70">
        <v>1525</v>
      </c>
      <c r="D3" s="70">
        <v>1688</v>
      </c>
      <c r="E3" s="70">
        <v>2144</v>
      </c>
      <c r="F3" s="70">
        <v>1196</v>
      </c>
    </row>
    <row r="4" spans="1:7" ht="18" customHeight="1" x14ac:dyDescent="0.2">
      <c r="A4" s="69" t="s">
        <v>55</v>
      </c>
      <c r="B4" s="70">
        <v>2042</v>
      </c>
      <c r="C4" s="70">
        <v>1943</v>
      </c>
      <c r="D4" s="70">
        <v>2114</v>
      </c>
      <c r="E4" s="70">
        <v>2179</v>
      </c>
      <c r="F4" s="70">
        <v>1712</v>
      </c>
    </row>
    <row r="5" spans="1:7" ht="18" customHeight="1" x14ac:dyDescent="0.2">
      <c r="A5" s="69" t="s">
        <v>56</v>
      </c>
      <c r="B5" s="70">
        <v>1574</v>
      </c>
      <c r="C5" s="70">
        <v>1424</v>
      </c>
      <c r="D5" s="70">
        <v>1519</v>
      </c>
      <c r="E5" s="70">
        <v>1172</v>
      </c>
      <c r="F5" s="70">
        <v>1055</v>
      </c>
    </row>
    <row r="6" spans="1:7" ht="18" customHeight="1" x14ac:dyDescent="0.2">
      <c r="A6" s="69" t="s">
        <v>57</v>
      </c>
      <c r="B6" s="70">
        <v>2100</v>
      </c>
      <c r="C6" s="70">
        <v>1539</v>
      </c>
      <c r="D6" s="70">
        <v>937</v>
      </c>
      <c r="E6" s="70">
        <v>1838</v>
      </c>
      <c r="F6" s="70">
        <v>325</v>
      </c>
    </row>
    <row r="7" spans="1:7" ht="18" customHeight="1" x14ac:dyDescent="0.2">
      <c r="A7" s="69" t="s">
        <v>58</v>
      </c>
      <c r="B7" s="70">
        <v>1936</v>
      </c>
      <c r="C7" s="70">
        <v>1473</v>
      </c>
      <c r="D7" s="70">
        <v>1473</v>
      </c>
      <c r="E7" s="70">
        <v>1312</v>
      </c>
      <c r="F7" s="70">
        <v>1250</v>
      </c>
    </row>
    <row r="8" spans="1:7" ht="18" customHeight="1" x14ac:dyDescent="0.2">
      <c r="A8" s="69" t="s">
        <v>59</v>
      </c>
      <c r="B8" s="70">
        <v>9538</v>
      </c>
      <c r="C8" s="70">
        <v>7904</v>
      </c>
      <c r="D8" s="70">
        <v>7731</v>
      </c>
      <c r="E8" s="70">
        <v>8645</v>
      </c>
      <c r="F8" s="70">
        <v>5538</v>
      </c>
    </row>
    <row r="28" spans="1:7" ht="21.75" customHeight="1" x14ac:dyDescent="0.2">
      <c r="A28" s="1" t="s">
        <v>114</v>
      </c>
      <c r="B28" s="1"/>
      <c r="C28" s="1"/>
      <c r="D28" s="1"/>
      <c r="E28" s="1"/>
      <c r="F28" s="1"/>
      <c r="G28" s="1"/>
    </row>
    <row r="29" spans="1:7" x14ac:dyDescent="0.2">
      <c r="A29" s="5"/>
      <c r="B29" s="71" t="s">
        <v>19</v>
      </c>
      <c r="C29" s="71" t="s">
        <v>42</v>
      </c>
      <c r="D29" s="71" t="s">
        <v>25</v>
      </c>
      <c r="E29" s="71" t="s">
        <v>67</v>
      </c>
      <c r="F29" s="71" t="s">
        <v>12</v>
      </c>
    </row>
    <row r="30" spans="1:7" x14ac:dyDescent="0.2">
      <c r="A30" s="69" t="s">
        <v>59</v>
      </c>
      <c r="B30" s="72">
        <v>9538</v>
      </c>
      <c r="C30" s="72">
        <v>7904</v>
      </c>
      <c r="D30" s="72">
        <v>7731</v>
      </c>
      <c r="E30" s="72">
        <v>8645</v>
      </c>
      <c r="F30" s="72">
        <v>5538</v>
      </c>
    </row>
  </sheetData>
  <mergeCells count="2">
    <mergeCell ref="A1:G1"/>
    <mergeCell ref="A28:G2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Comparison</vt:lpstr>
      <vt:lpstr>Daily Miles Breakdown</vt:lpstr>
      <vt:lpstr>Route &amp; Resource Detail</vt:lpstr>
      <vt:lpstr>Algorithm Guide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Rishikesh Pillai</cp:lastModifiedBy>
  <cp:revision>1</cp:revision>
  <dcterms:created xsi:type="dcterms:W3CDTF">2026-04-13T03:41:15Z</dcterms:created>
  <dcterms:modified xsi:type="dcterms:W3CDTF">2026-04-15T00:07:19Z</dcterms:modified>
  <dc:language>en-US</dc:language>
</cp:coreProperties>
</file>